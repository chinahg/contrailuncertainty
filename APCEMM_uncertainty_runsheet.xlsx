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a\Desktop\"/>
    </mc:Choice>
  </mc:AlternateContent>
  <xr:revisionPtr revIDLastSave="0" documentId="13_ncr:1_{DC920349-652C-4E82-BD1F-D39DFB44D03B}" xr6:coauthVersionLast="47" xr6:coauthVersionMax="47" xr10:uidLastSave="{00000000-0000-0000-0000-000000000000}"/>
  <bookViews>
    <workbookView xWindow="16354" yWindow="-9446" windowWidth="33120" windowHeight="18120" xr2:uid="{38BF35FE-A01D-4D7A-9666-D862C5D33EEB}"/>
  </bookViews>
  <sheets>
    <sheet name="Sheet1" sheetId="1" r:id="rId1"/>
  </sheets>
  <definedNames>
    <definedName name="_xlchart.v1.0" hidden="1">Sheet1!$D$7:$D$56</definedName>
    <definedName name="_xlchart.v1.1" hidden="1">Sheet1!$I$7:$I$44</definedName>
    <definedName name="_xlchart.v1.2" hidden="1">Sheet1!$I$7:$I$56</definedName>
    <definedName name="_xlchart.v1.3" hidden="1">Sheet1!$J$7:$J$44</definedName>
    <definedName name="_xlchart.v1.4" hidden="1">Sheet1!$J$7:$J$56</definedName>
    <definedName name="_xlchart.v1.5" hidden="1">Sheet1!$D$7:$D$56</definedName>
    <definedName name="_xlchart.v1.6" hidden="1">Sheet1!$D$7:$D$56</definedName>
    <definedName name="_xlchart.v1.7" hidden="1">Sheet1!$I$7:$I$56</definedName>
    <definedName name="_xlchart.v1.8" hidden="1">Sheet1!$J$7:$J$56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7" i="1"/>
  <c r="B41" i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G56" i="1"/>
  <c r="G45" i="1"/>
  <c r="G46" i="1"/>
  <c r="G47" i="1"/>
  <c r="G48" i="1" s="1"/>
  <c r="G49" i="1" s="1"/>
  <c r="G50" i="1" s="1"/>
  <c r="G51" i="1" s="1"/>
  <c r="G52" i="1" s="1"/>
  <c r="G53" i="1" s="1"/>
  <c r="G54" i="1" s="1"/>
  <c r="G55" i="1" s="1"/>
  <c r="G17" i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7" i="1"/>
  <c r="G8" i="1" s="1"/>
  <c r="G9" i="1" s="1"/>
  <c r="G10" i="1" s="1"/>
  <c r="G11" i="1" s="1"/>
  <c r="G12" i="1" s="1"/>
  <c r="G13" i="1" s="1"/>
  <c r="G14" i="1" s="1"/>
  <c r="G15" i="1" s="1"/>
  <c r="G16" i="1" s="1"/>
  <c r="M3" i="1"/>
  <c r="B8" i="1"/>
  <c r="B9" i="1" s="1"/>
  <c r="B10" i="1" s="1"/>
  <c r="B11" i="1" s="1"/>
  <c r="B12" i="1" s="1"/>
  <c r="B13" i="1" s="1"/>
  <c r="B14" i="1" s="1"/>
  <c r="B15" i="1" s="1"/>
  <c r="B16" i="1" s="1"/>
  <c r="B7" i="1"/>
</calcChain>
</file>

<file path=xl/sharedStrings.xml><?xml version="1.0" encoding="utf-8"?>
<sst xmlns="http://schemas.openxmlformats.org/spreadsheetml/2006/main" count="16" uniqueCount="11">
  <si>
    <t>APCEMM Uncertainty Runsheet</t>
  </si>
  <si>
    <t>Supersaturated RH, IC</t>
  </si>
  <si>
    <t xml:space="preserve">Mean = </t>
  </si>
  <si>
    <t xml:space="preserve">Variance = </t>
  </si>
  <si>
    <t>Samples, Scaled by true mean of 70</t>
  </si>
  <si>
    <t xml:space="preserve">Sample Number </t>
  </si>
  <si>
    <t>Normal Dist. Samples</t>
  </si>
  <si>
    <t xml:space="preserve">Normal Dist. Function: </t>
  </si>
  <si>
    <t>MLD, time-variant</t>
  </si>
  <si>
    <t>Samples, Scaled by true mean of 1000</t>
  </si>
  <si>
    <t>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</si>
</sst>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A00"/>
        <bgColor indexed="64"/>
      </patternFill>
    </fill>
    <fill>
      <patternFill patternType="solid">
        <fgColor rgb="FF8CD86E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1" fillId="0" borderId="0" xfId="0" applyNumberFormat="1" applyFont="1" applyBorder="1" applyAlignment="1">
      <alignment vertical="center"/>
    </xf>
    <xf numFmtId="2" fontId="1" fillId="0" borderId="5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vertical="center"/>
    </xf>
    <xf numFmtId="2" fontId="1" fillId="0" borderId="8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0" fillId="2" borderId="0" xfId="0" applyFill="1"/>
    <xf numFmtId="2" fontId="1" fillId="2" borderId="0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0" xfId="0" applyFill="1" applyBorder="1" applyAlignment="1"/>
    <xf numFmtId="0" fontId="0" fillId="5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D86E"/>
      <color rgb="FFFF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</cx:chartData>
  <cx:chart>
    <cx:title pos="t" align="ctr" overlay="0">
      <cx:tx>
        <cx:txData>
          <cx:v>MLD Histogram
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MLD Histogram</a:t>
          </a:r>
        </a:p>
      </cx:txPr>
    </cx:title>
    <cx:plotArea>
      <cx:plotAreaRegion>
        <cx:series layoutId="clusteredColumn" uniqueId="{976C0162-67DA-4005-9A71-F29D4C85FEE4}" formatIdx="0">
          <cx:dataId val="0"/>
          <cx:layoutPr>
            <cx:binning intervalClosed="r">
              <cx:binCount val="6"/>
            </cx:binning>
          </cx:layoutPr>
        </cx:series>
        <cx:series layoutId="clusteredColumn" hidden="1" uniqueId="{6936383D-CCDD-4C19-9E98-B091482A4E99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RHss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RHss Histogram</a:t>
          </a:r>
        </a:p>
      </cx:txPr>
    </cx:title>
    <cx:plotArea>
      <cx:plotAreaRegion>
        <cx:series layoutId="clusteredColumn" uniqueId="{783E5EC3-D482-4706-90CF-22510F9902CA}"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150222</xdr:colOff>
      <xdr:row>17</xdr:row>
      <xdr:rowOff>92527</xdr:rowOff>
    </xdr:from>
    <xdr:to>
      <xdr:col>21</xdr:col>
      <xdr:colOff>455022</xdr:colOff>
      <xdr:row>32</xdr:row>
      <xdr:rowOff>13061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7FEBEBF-3A0A-3F6F-31AD-181CEE8B42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05108" y="3243941"/>
              <a:ext cx="4572000" cy="26963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160019</xdr:colOff>
      <xdr:row>1</xdr:row>
      <xdr:rowOff>175259</xdr:rowOff>
    </xdr:from>
    <xdr:to>
      <xdr:col>21</xdr:col>
      <xdr:colOff>464819</xdr:colOff>
      <xdr:row>16</xdr:row>
      <xdr:rowOff>143691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9000679-819A-9335-D021-03728A4048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14905" y="360316"/>
              <a:ext cx="4572000" cy="27497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534D-2031-4E13-977B-BC954B3AD18E}">
  <dimension ref="A1:N61"/>
  <sheetViews>
    <sheetView tabSelected="1" topLeftCell="A18" workbookViewId="0">
      <selection activeCell="K37" sqref="K37"/>
    </sheetView>
  </sheetViews>
  <sheetFormatPr defaultRowHeight="14.4" x14ac:dyDescent="0.3"/>
  <cols>
    <col min="1" max="1" width="7.33203125" bestFit="1" customWidth="1"/>
    <col min="3" max="3" width="11.44140625" customWidth="1"/>
    <col min="4" max="4" width="19.109375" bestFit="1" customWidth="1"/>
    <col min="5" max="5" width="12.109375" customWidth="1"/>
    <col min="9" max="9" width="21.21875" customWidth="1"/>
    <col min="10" max="10" width="14" customWidth="1"/>
    <col min="12" max="12" width="20" bestFit="1" customWidth="1"/>
    <col min="13" max="14" width="5.5546875" customWidth="1"/>
    <col min="22" max="22" width="20" bestFit="1" customWidth="1"/>
  </cols>
  <sheetData>
    <row r="1" spans="1:14" x14ac:dyDescent="0.3">
      <c r="A1" s="22" t="s">
        <v>0</v>
      </c>
      <c r="B1" s="22"/>
      <c r="C1" s="22"/>
    </row>
    <row r="2" spans="1:14" ht="15" thickBot="1" x14ac:dyDescent="0.35">
      <c r="C2" s="1"/>
    </row>
    <row r="3" spans="1:14" x14ac:dyDescent="0.3">
      <c r="B3" s="7" t="s">
        <v>1</v>
      </c>
      <c r="C3" s="8"/>
      <c r="D3" s="8"/>
      <c r="E3" s="9"/>
      <c r="G3" s="7" t="s">
        <v>8</v>
      </c>
      <c r="H3" s="8"/>
      <c r="I3" s="8"/>
      <c r="J3" s="9"/>
      <c r="L3" s="23" t="s">
        <v>7</v>
      </c>
      <c r="M3" s="24">
        <f ca="1">NORMINV(RAND(),$C$4,$E$4)</f>
        <v>0.84320280140527615</v>
      </c>
      <c r="N3" s="25"/>
    </row>
    <row r="4" spans="1:14" x14ac:dyDescent="0.3">
      <c r="B4" s="10" t="s">
        <v>2</v>
      </c>
      <c r="C4" s="2">
        <v>1</v>
      </c>
      <c r="D4" s="3" t="s">
        <v>3</v>
      </c>
      <c r="E4" s="11">
        <v>0.1</v>
      </c>
      <c r="G4" s="10" t="s">
        <v>2</v>
      </c>
      <c r="H4" s="2">
        <v>1</v>
      </c>
      <c r="I4" s="3" t="s">
        <v>3</v>
      </c>
      <c r="J4" s="11">
        <v>0.1</v>
      </c>
    </row>
    <row r="5" spans="1:14" x14ac:dyDescent="0.3">
      <c r="B5" s="12" t="s">
        <v>4</v>
      </c>
      <c r="C5" s="4"/>
      <c r="D5" s="4"/>
      <c r="E5" s="13"/>
      <c r="G5" s="12" t="s">
        <v>9</v>
      </c>
      <c r="H5" s="4"/>
      <c r="I5" s="4"/>
      <c r="J5" s="13"/>
    </row>
    <row r="6" spans="1:14" x14ac:dyDescent="0.3">
      <c r="B6" s="14" t="s">
        <v>5</v>
      </c>
      <c r="C6" s="5"/>
      <c r="D6" s="27" t="s">
        <v>6</v>
      </c>
      <c r="E6" s="26" t="s">
        <v>10</v>
      </c>
      <c r="G6" s="14" t="s">
        <v>5</v>
      </c>
      <c r="H6" s="5"/>
      <c r="I6" s="27" t="s">
        <v>6</v>
      </c>
      <c r="J6" s="28" t="s">
        <v>10</v>
      </c>
    </row>
    <row r="7" spans="1:14" x14ac:dyDescent="0.3">
      <c r="B7" s="15">
        <f>1</f>
        <v>1</v>
      </c>
      <c r="C7" s="6"/>
      <c r="D7" s="18">
        <v>1.0287332672071139</v>
      </c>
      <c r="E7" s="19">
        <f>D7*70</f>
        <v>72.01132870449797</v>
      </c>
      <c r="G7" s="15">
        <f>1</f>
        <v>1</v>
      </c>
      <c r="H7" s="6"/>
      <c r="I7" s="18">
        <v>1.105525251537093</v>
      </c>
      <c r="J7" s="19">
        <f>I7*1000</f>
        <v>1105.525251537093</v>
      </c>
    </row>
    <row r="8" spans="1:14" x14ac:dyDescent="0.3">
      <c r="B8" s="15">
        <f>1+B7</f>
        <v>2</v>
      </c>
      <c r="C8" s="6"/>
      <c r="D8" s="18">
        <v>0.89908740788952124</v>
      </c>
      <c r="E8" s="19">
        <f t="shared" ref="E8:E56" si="0">D8*70</f>
        <v>62.936118552266485</v>
      </c>
      <c r="G8" s="15">
        <f>1+G7</f>
        <v>2</v>
      </c>
      <c r="H8" s="6"/>
      <c r="I8" s="18">
        <v>1.0282744916602584</v>
      </c>
      <c r="J8" s="19">
        <f t="shared" ref="J8:J56" si="1">I8*1000</f>
        <v>1028.2744916602585</v>
      </c>
    </row>
    <row r="9" spans="1:14" x14ac:dyDescent="0.3">
      <c r="B9" s="15">
        <f t="shared" ref="B9:B16" si="2">1+B8</f>
        <v>3</v>
      </c>
      <c r="C9" s="6"/>
      <c r="D9" s="18">
        <v>1.0055708740720688</v>
      </c>
      <c r="E9" s="19">
        <f t="shared" si="0"/>
        <v>70.389961185044811</v>
      </c>
      <c r="G9" s="15">
        <f t="shared" ref="G9:G16" si="3">1+G8</f>
        <v>3</v>
      </c>
      <c r="H9" s="6"/>
      <c r="I9" s="18">
        <v>0.99295477955469924</v>
      </c>
      <c r="J9" s="19">
        <f t="shared" si="1"/>
        <v>992.95477955469926</v>
      </c>
    </row>
    <row r="10" spans="1:14" x14ac:dyDescent="0.3">
      <c r="B10" s="15">
        <f t="shared" si="2"/>
        <v>4</v>
      </c>
      <c r="C10" s="6"/>
      <c r="D10" s="18">
        <v>1.0199453633448228</v>
      </c>
      <c r="E10" s="19">
        <f t="shared" si="0"/>
        <v>71.396175434137589</v>
      </c>
      <c r="G10" s="15">
        <f t="shared" si="3"/>
        <v>4</v>
      </c>
      <c r="H10" s="6"/>
      <c r="I10" s="18">
        <v>0.98949656405734943</v>
      </c>
      <c r="J10" s="19">
        <f t="shared" si="1"/>
        <v>989.49656405734947</v>
      </c>
    </row>
    <row r="11" spans="1:14" x14ac:dyDescent="0.3">
      <c r="B11" s="15">
        <f t="shared" si="2"/>
        <v>5</v>
      </c>
      <c r="C11" s="6"/>
      <c r="D11" s="18">
        <v>0.97413869728098179</v>
      </c>
      <c r="E11" s="19">
        <f t="shared" si="0"/>
        <v>68.18970880966873</v>
      </c>
      <c r="G11" s="15">
        <f t="shared" si="3"/>
        <v>5</v>
      </c>
      <c r="H11" s="6"/>
      <c r="I11" s="18">
        <v>1.0821456897440682</v>
      </c>
      <c r="J11" s="19">
        <f t="shared" si="1"/>
        <v>1082.1456897440682</v>
      </c>
    </row>
    <row r="12" spans="1:14" x14ac:dyDescent="0.3">
      <c r="B12" s="15">
        <f t="shared" si="2"/>
        <v>6</v>
      </c>
      <c r="C12" s="6"/>
      <c r="D12" s="18">
        <v>1.0510490777926631</v>
      </c>
      <c r="E12" s="19">
        <f t="shared" si="0"/>
        <v>73.57343544548641</v>
      </c>
      <c r="G12" s="15">
        <f t="shared" si="3"/>
        <v>6</v>
      </c>
      <c r="H12" s="6"/>
      <c r="I12" s="18">
        <v>0.97020637666247322</v>
      </c>
      <c r="J12" s="19">
        <f t="shared" si="1"/>
        <v>970.20637666247319</v>
      </c>
    </row>
    <row r="13" spans="1:14" x14ac:dyDescent="0.3">
      <c r="B13" s="15">
        <f t="shared" si="2"/>
        <v>7</v>
      </c>
      <c r="C13" s="6"/>
      <c r="D13" s="18">
        <v>0.98099381367019689</v>
      </c>
      <c r="E13" s="19">
        <f t="shared" si="0"/>
        <v>68.669566956913783</v>
      </c>
      <c r="G13" s="15">
        <f t="shared" si="3"/>
        <v>7</v>
      </c>
      <c r="H13" s="6"/>
      <c r="I13" s="18">
        <v>0.9625128547623415</v>
      </c>
      <c r="J13" s="19">
        <f t="shared" si="1"/>
        <v>962.51285476234148</v>
      </c>
    </row>
    <row r="14" spans="1:14" x14ac:dyDescent="0.3">
      <c r="B14" s="15">
        <f t="shared" si="2"/>
        <v>8</v>
      </c>
      <c r="C14" s="6"/>
      <c r="D14" s="18">
        <v>0.85039146448721958</v>
      </c>
      <c r="E14" s="19">
        <f t="shared" si="0"/>
        <v>59.527402514105368</v>
      </c>
      <c r="G14" s="15">
        <f t="shared" si="3"/>
        <v>8</v>
      </c>
      <c r="H14" s="6"/>
      <c r="I14" s="18">
        <v>0.98594629339573381</v>
      </c>
      <c r="J14" s="19">
        <f t="shared" si="1"/>
        <v>985.94629339573385</v>
      </c>
    </row>
    <row r="15" spans="1:14" x14ac:dyDescent="0.3">
      <c r="B15" s="15">
        <f t="shared" si="2"/>
        <v>9</v>
      </c>
      <c r="C15" s="6"/>
      <c r="D15" s="18">
        <v>0.9901880623032121</v>
      </c>
      <c r="E15" s="19">
        <f t="shared" si="0"/>
        <v>69.31316436122485</v>
      </c>
      <c r="G15" s="15">
        <f t="shared" si="3"/>
        <v>9</v>
      </c>
      <c r="H15" s="6"/>
      <c r="I15" s="18">
        <v>1.0478134704603665</v>
      </c>
      <c r="J15" s="19">
        <f t="shared" si="1"/>
        <v>1047.8134704603665</v>
      </c>
    </row>
    <row r="16" spans="1:14" x14ac:dyDescent="0.3">
      <c r="B16" s="15">
        <f t="shared" si="2"/>
        <v>10</v>
      </c>
      <c r="C16" s="6"/>
      <c r="D16" s="18">
        <v>1.0215342531252687</v>
      </c>
      <c r="E16" s="19">
        <f t="shared" si="0"/>
        <v>71.507397718768814</v>
      </c>
      <c r="G16" s="15">
        <f t="shared" si="3"/>
        <v>10</v>
      </c>
      <c r="H16" s="6"/>
      <c r="I16" s="18">
        <v>0.98952849887883032</v>
      </c>
      <c r="J16" s="19">
        <f t="shared" si="1"/>
        <v>989.52849887883031</v>
      </c>
    </row>
    <row r="17" spans="2:10" x14ac:dyDescent="0.3">
      <c r="B17" s="15">
        <f t="shared" ref="B17:B41" si="4">1+B16</f>
        <v>11</v>
      </c>
      <c r="C17" s="6"/>
      <c r="D17" s="18">
        <v>1.1117894359684359</v>
      </c>
      <c r="E17" s="19">
        <f t="shared" si="0"/>
        <v>77.825260517790511</v>
      </c>
      <c r="G17" s="15">
        <f t="shared" ref="G17:G45" si="5">1+G16</f>
        <v>11</v>
      </c>
      <c r="H17" s="6"/>
      <c r="I17" s="18">
        <v>1.1866936322554706</v>
      </c>
      <c r="J17" s="19">
        <f t="shared" si="1"/>
        <v>1186.6936322554707</v>
      </c>
    </row>
    <row r="18" spans="2:10" x14ac:dyDescent="0.3">
      <c r="B18" s="15">
        <f t="shared" si="4"/>
        <v>12</v>
      </c>
      <c r="C18" s="6"/>
      <c r="D18" s="18">
        <v>1.0874095104626633</v>
      </c>
      <c r="E18" s="19">
        <f t="shared" si="0"/>
        <v>76.118665732386432</v>
      </c>
      <c r="G18" s="15">
        <f t="shared" si="5"/>
        <v>12</v>
      </c>
      <c r="H18" s="6"/>
      <c r="I18" s="18">
        <v>1.0156303319187832</v>
      </c>
      <c r="J18" s="19">
        <f t="shared" si="1"/>
        <v>1015.6303319187832</v>
      </c>
    </row>
    <row r="19" spans="2:10" x14ac:dyDescent="0.3">
      <c r="B19" s="15">
        <f t="shared" si="4"/>
        <v>13</v>
      </c>
      <c r="C19" s="6"/>
      <c r="D19" s="18">
        <v>0.93659307616763354</v>
      </c>
      <c r="E19" s="19">
        <f t="shared" si="0"/>
        <v>65.561515331734341</v>
      </c>
      <c r="G19" s="15">
        <f t="shared" si="5"/>
        <v>13</v>
      </c>
      <c r="H19" s="6"/>
      <c r="I19" s="18">
        <v>1.0872573884380157</v>
      </c>
      <c r="J19" s="19">
        <f t="shared" si="1"/>
        <v>1087.2573884380156</v>
      </c>
    </row>
    <row r="20" spans="2:10" x14ac:dyDescent="0.3">
      <c r="B20" s="15">
        <f t="shared" si="4"/>
        <v>14</v>
      </c>
      <c r="C20" s="6"/>
      <c r="D20" s="18">
        <v>0.87239895890664831</v>
      </c>
      <c r="E20" s="19">
        <f t="shared" si="0"/>
        <v>61.067927123465381</v>
      </c>
      <c r="G20" s="15">
        <f t="shared" si="5"/>
        <v>14</v>
      </c>
      <c r="H20" s="6"/>
      <c r="I20" s="18">
        <v>1.0790485864627046</v>
      </c>
      <c r="J20" s="19">
        <f t="shared" si="1"/>
        <v>1079.0485864627046</v>
      </c>
    </row>
    <row r="21" spans="2:10" x14ac:dyDescent="0.3">
      <c r="B21" s="15">
        <f t="shared" si="4"/>
        <v>15</v>
      </c>
      <c r="C21" s="6"/>
      <c r="D21" s="18">
        <v>0.95031608043186921</v>
      </c>
      <c r="E21" s="19">
        <f t="shared" si="0"/>
        <v>66.522125630230846</v>
      </c>
      <c r="G21" s="15">
        <f t="shared" si="5"/>
        <v>15</v>
      </c>
      <c r="H21" s="6"/>
      <c r="I21" s="18">
        <v>0.94351616133368954</v>
      </c>
      <c r="J21" s="19">
        <f t="shared" si="1"/>
        <v>943.51616133368952</v>
      </c>
    </row>
    <row r="22" spans="2:10" x14ac:dyDescent="0.3">
      <c r="B22" s="15">
        <f t="shared" si="4"/>
        <v>16</v>
      </c>
      <c r="C22" s="6"/>
      <c r="D22" s="18">
        <v>0.885039119363489</v>
      </c>
      <c r="E22" s="19">
        <f t="shared" si="0"/>
        <v>61.952738355444232</v>
      </c>
      <c r="G22" s="15">
        <f t="shared" si="5"/>
        <v>16</v>
      </c>
      <c r="H22" s="6"/>
      <c r="I22" s="18">
        <v>1.0961239266753415</v>
      </c>
      <c r="J22" s="19">
        <f t="shared" si="1"/>
        <v>1096.1239266753416</v>
      </c>
    </row>
    <row r="23" spans="2:10" x14ac:dyDescent="0.3">
      <c r="B23" s="15">
        <f t="shared" si="4"/>
        <v>17</v>
      </c>
      <c r="C23" s="6"/>
      <c r="D23" s="18">
        <v>1.1078584991248779</v>
      </c>
      <c r="E23" s="19">
        <f t="shared" si="0"/>
        <v>77.550094938741452</v>
      </c>
      <c r="G23" s="15">
        <f t="shared" si="5"/>
        <v>17</v>
      </c>
      <c r="H23" s="6"/>
      <c r="I23" s="18">
        <v>1.0452008924920968</v>
      </c>
      <c r="J23" s="19">
        <f t="shared" si="1"/>
        <v>1045.2008924920967</v>
      </c>
    </row>
    <row r="24" spans="2:10" x14ac:dyDescent="0.3">
      <c r="B24" s="15">
        <f t="shared" si="4"/>
        <v>18</v>
      </c>
      <c r="C24" s="6"/>
      <c r="D24" s="18">
        <v>1.031920170325022</v>
      </c>
      <c r="E24" s="19">
        <f t="shared" si="0"/>
        <v>72.234411922751548</v>
      </c>
      <c r="G24" s="15">
        <f t="shared" si="5"/>
        <v>18</v>
      </c>
      <c r="H24" s="6"/>
      <c r="I24" s="18">
        <v>1.0477439422860582</v>
      </c>
      <c r="J24" s="19">
        <f t="shared" si="1"/>
        <v>1047.7439422860582</v>
      </c>
    </row>
    <row r="25" spans="2:10" x14ac:dyDescent="0.3">
      <c r="B25" s="15">
        <f t="shared" si="4"/>
        <v>19</v>
      </c>
      <c r="C25" s="6"/>
      <c r="D25" s="18">
        <v>0.9778503586868329</v>
      </c>
      <c r="E25" s="19">
        <f t="shared" si="0"/>
        <v>68.449525108078305</v>
      </c>
      <c r="G25" s="15">
        <f t="shared" si="5"/>
        <v>19</v>
      </c>
      <c r="H25" s="6"/>
      <c r="I25" s="18">
        <v>0.90958357333538475</v>
      </c>
      <c r="J25" s="19">
        <f t="shared" si="1"/>
        <v>909.5835733353847</v>
      </c>
    </row>
    <row r="26" spans="2:10" x14ac:dyDescent="0.3">
      <c r="B26" s="15">
        <f t="shared" si="4"/>
        <v>20</v>
      </c>
      <c r="C26" s="6"/>
      <c r="D26" s="18">
        <v>0.94263012594350515</v>
      </c>
      <c r="E26" s="19">
        <f t="shared" si="0"/>
        <v>65.984108816045364</v>
      </c>
      <c r="G26" s="15">
        <f t="shared" si="5"/>
        <v>20</v>
      </c>
      <c r="H26" s="6"/>
      <c r="I26" s="18">
        <v>0.91888285303886275</v>
      </c>
      <c r="J26" s="19">
        <f t="shared" si="1"/>
        <v>918.88285303886278</v>
      </c>
    </row>
    <row r="27" spans="2:10" x14ac:dyDescent="0.3">
      <c r="B27" s="15">
        <f t="shared" si="4"/>
        <v>21</v>
      </c>
      <c r="C27" s="6"/>
      <c r="D27" s="18">
        <v>0.96681190637914405</v>
      </c>
      <c r="E27" s="19">
        <f t="shared" si="0"/>
        <v>67.676833446540087</v>
      </c>
      <c r="G27" s="15">
        <f t="shared" si="5"/>
        <v>21</v>
      </c>
      <c r="H27" s="6"/>
      <c r="I27" s="18">
        <v>0.83604485288807695</v>
      </c>
      <c r="J27" s="19">
        <f t="shared" si="1"/>
        <v>836.044852888077</v>
      </c>
    </row>
    <row r="28" spans="2:10" x14ac:dyDescent="0.3">
      <c r="B28" s="15">
        <f t="shared" si="4"/>
        <v>22</v>
      </c>
      <c r="C28" s="6"/>
      <c r="D28" s="18">
        <v>1.0287446148146382</v>
      </c>
      <c r="E28" s="19">
        <f t="shared" si="0"/>
        <v>72.012123037024679</v>
      </c>
      <c r="G28" s="15">
        <f t="shared" si="5"/>
        <v>22</v>
      </c>
      <c r="H28" s="6"/>
      <c r="I28" s="18">
        <v>1.1538053159158606</v>
      </c>
      <c r="J28" s="19">
        <f t="shared" si="1"/>
        <v>1153.8053159158605</v>
      </c>
    </row>
    <row r="29" spans="2:10" x14ac:dyDescent="0.3">
      <c r="B29" s="15">
        <f t="shared" si="4"/>
        <v>23</v>
      </c>
      <c r="C29" s="6"/>
      <c r="D29" s="18">
        <v>0.83741468346898951</v>
      </c>
      <c r="E29" s="19">
        <f t="shared" si="0"/>
        <v>58.619027842829269</v>
      </c>
      <c r="G29" s="15">
        <f t="shared" si="5"/>
        <v>23</v>
      </c>
      <c r="H29" s="6"/>
      <c r="I29" s="18">
        <v>0.90512666699208788</v>
      </c>
      <c r="J29" s="19">
        <f t="shared" si="1"/>
        <v>905.12666699208785</v>
      </c>
    </row>
    <row r="30" spans="2:10" x14ac:dyDescent="0.3">
      <c r="B30" s="15">
        <f t="shared" si="4"/>
        <v>24</v>
      </c>
      <c r="C30" s="6"/>
      <c r="D30" s="18">
        <v>1.0219136197855199</v>
      </c>
      <c r="E30" s="19">
        <f t="shared" si="0"/>
        <v>71.53395338498639</v>
      </c>
      <c r="G30" s="15">
        <f t="shared" si="5"/>
        <v>24</v>
      </c>
      <c r="H30" s="6"/>
      <c r="I30" s="18">
        <v>1.0894027429863449</v>
      </c>
      <c r="J30" s="19">
        <f t="shared" si="1"/>
        <v>1089.4027429863449</v>
      </c>
    </row>
    <row r="31" spans="2:10" x14ac:dyDescent="0.3">
      <c r="B31" s="15">
        <f t="shared" si="4"/>
        <v>25</v>
      </c>
      <c r="C31" s="6"/>
      <c r="D31" s="18">
        <v>0.86541222012368468</v>
      </c>
      <c r="E31" s="19">
        <f t="shared" si="0"/>
        <v>60.57885540865793</v>
      </c>
      <c r="G31" s="15">
        <f t="shared" si="5"/>
        <v>25</v>
      </c>
      <c r="H31" s="6"/>
      <c r="I31" s="18">
        <v>1.0251789515698913</v>
      </c>
      <c r="J31" s="19">
        <f t="shared" si="1"/>
        <v>1025.1789515698913</v>
      </c>
    </row>
    <row r="32" spans="2:10" x14ac:dyDescent="0.3">
      <c r="B32" s="15">
        <f t="shared" si="4"/>
        <v>26</v>
      </c>
      <c r="C32" s="6"/>
      <c r="D32" s="18">
        <v>1.2123202254481606</v>
      </c>
      <c r="E32" s="19">
        <f t="shared" si="0"/>
        <v>84.86241578137124</v>
      </c>
      <c r="G32" s="15">
        <f t="shared" si="5"/>
        <v>26</v>
      </c>
      <c r="H32" s="6"/>
      <c r="I32" s="18">
        <v>0.83764402578038366</v>
      </c>
      <c r="J32" s="19">
        <f t="shared" si="1"/>
        <v>837.64402578038369</v>
      </c>
    </row>
    <row r="33" spans="2:10" x14ac:dyDescent="0.3">
      <c r="B33" s="15">
        <f t="shared" si="4"/>
        <v>27</v>
      </c>
      <c r="C33" s="6"/>
      <c r="D33" s="18">
        <v>1.0933579501623356</v>
      </c>
      <c r="E33" s="19">
        <f t="shared" si="0"/>
        <v>76.535056511363493</v>
      </c>
      <c r="G33" s="15">
        <f t="shared" si="5"/>
        <v>27</v>
      </c>
      <c r="H33" s="6"/>
      <c r="I33" s="18">
        <v>0.92544706060364756</v>
      </c>
      <c r="J33" s="19">
        <f t="shared" si="1"/>
        <v>925.44706060364751</v>
      </c>
    </row>
    <row r="34" spans="2:10" x14ac:dyDescent="0.3">
      <c r="B34" s="15">
        <f t="shared" si="4"/>
        <v>28</v>
      </c>
      <c r="C34" s="6"/>
      <c r="D34" s="18">
        <v>0.78242876400462313</v>
      </c>
      <c r="E34" s="19">
        <f t="shared" si="0"/>
        <v>54.77001348032362</v>
      </c>
      <c r="G34" s="15">
        <f t="shared" si="5"/>
        <v>28</v>
      </c>
      <c r="H34" s="6"/>
      <c r="I34" s="18">
        <v>0.92102979363579818</v>
      </c>
      <c r="J34" s="19">
        <f t="shared" si="1"/>
        <v>921.02979363579823</v>
      </c>
    </row>
    <row r="35" spans="2:10" x14ac:dyDescent="0.3">
      <c r="B35" s="15">
        <f t="shared" si="4"/>
        <v>29</v>
      </c>
      <c r="C35" s="6"/>
      <c r="D35" s="18">
        <v>0.91374349884644679</v>
      </c>
      <c r="E35" s="19">
        <f t="shared" si="0"/>
        <v>63.962044919251277</v>
      </c>
      <c r="G35" s="15">
        <f t="shared" si="5"/>
        <v>29</v>
      </c>
      <c r="H35" s="6"/>
      <c r="I35" s="18">
        <v>0.99262006693498117</v>
      </c>
      <c r="J35" s="19">
        <f t="shared" si="1"/>
        <v>992.6200669349812</v>
      </c>
    </row>
    <row r="36" spans="2:10" x14ac:dyDescent="0.3">
      <c r="B36" s="15">
        <f t="shared" si="4"/>
        <v>30</v>
      </c>
      <c r="C36" s="6"/>
      <c r="D36" s="18">
        <v>0.94123079716912528</v>
      </c>
      <c r="E36" s="19">
        <f t="shared" si="0"/>
        <v>65.886155801838768</v>
      </c>
      <c r="G36" s="15">
        <f t="shared" si="5"/>
        <v>30</v>
      </c>
      <c r="H36" s="6"/>
      <c r="I36" s="18">
        <v>0.98204861283675104</v>
      </c>
      <c r="J36" s="19">
        <f t="shared" si="1"/>
        <v>982.04861283675109</v>
      </c>
    </row>
    <row r="37" spans="2:10" x14ac:dyDescent="0.3">
      <c r="B37" s="15">
        <f t="shared" si="4"/>
        <v>31</v>
      </c>
      <c r="C37" s="6"/>
      <c r="D37" s="18">
        <v>1.1551753065088004</v>
      </c>
      <c r="E37" s="19">
        <f t="shared" si="0"/>
        <v>80.862271455616025</v>
      </c>
      <c r="G37" s="15">
        <f t="shared" si="5"/>
        <v>31</v>
      </c>
      <c r="H37" s="6"/>
      <c r="I37" s="18">
        <v>1.0596461719156944</v>
      </c>
      <c r="J37" s="19">
        <f t="shared" si="1"/>
        <v>1059.6461719156944</v>
      </c>
    </row>
    <row r="38" spans="2:10" x14ac:dyDescent="0.3">
      <c r="B38" s="15">
        <f t="shared" si="4"/>
        <v>32</v>
      </c>
      <c r="C38" s="6"/>
      <c r="D38" s="18">
        <v>1.0459486656928387</v>
      </c>
      <c r="E38" s="19">
        <f t="shared" si="0"/>
        <v>73.216406598498708</v>
      </c>
      <c r="G38" s="15">
        <f t="shared" si="5"/>
        <v>32</v>
      </c>
      <c r="H38" s="6"/>
      <c r="I38" s="18">
        <v>0.96195460300822688</v>
      </c>
      <c r="J38" s="19">
        <f t="shared" si="1"/>
        <v>961.95460300822685</v>
      </c>
    </row>
    <row r="39" spans="2:10" x14ac:dyDescent="0.3">
      <c r="B39" s="15">
        <f t="shared" si="4"/>
        <v>33</v>
      </c>
      <c r="C39" s="6"/>
      <c r="D39" s="18">
        <v>0.88423945216813271</v>
      </c>
      <c r="E39" s="19">
        <f t="shared" si="0"/>
        <v>61.896761651769289</v>
      </c>
      <c r="G39" s="15">
        <f t="shared" si="5"/>
        <v>33</v>
      </c>
      <c r="H39" s="6"/>
      <c r="I39" s="18">
        <v>1.1225613098460197</v>
      </c>
      <c r="J39" s="19">
        <f t="shared" si="1"/>
        <v>1122.5613098460196</v>
      </c>
    </row>
    <row r="40" spans="2:10" x14ac:dyDescent="0.3">
      <c r="B40" s="15">
        <f t="shared" si="4"/>
        <v>34</v>
      </c>
      <c r="C40" s="6"/>
      <c r="D40" s="18">
        <v>1.1207639474862752</v>
      </c>
      <c r="E40" s="19">
        <f t="shared" si="0"/>
        <v>78.453476324039258</v>
      </c>
      <c r="G40" s="15">
        <f t="shared" si="5"/>
        <v>34</v>
      </c>
      <c r="H40" s="6"/>
      <c r="I40" s="18">
        <v>1.0833975938974472</v>
      </c>
      <c r="J40" s="19">
        <f t="shared" si="1"/>
        <v>1083.3975938974472</v>
      </c>
    </row>
    <row r="41" spans="2:10" x14ac:dyDescent="0.3">
      <c r="B41" s="15">
        <f t="shared" si="4"/>
        <v>35</v>
      </c>
      <c r="C41" s="6"/>
      <c r="D41" s="18">
        <v>0.98013889741870508</v>
      </c>
      <c r="E41" s="19">
        <f t="shared" si="0"/>
        <v>68.609722819309354</v>
      </c>
      <c r="G41" s="15">
        <f t="shared" si="5"/>
        <v>35</v>
      </c>
      <c r="H41" s="6"/>
      <c r="I41" s="18">
        <v>0.91496365075539787</v>
      </c>
      <c r="J41" s="19">
        <f t="shared" si="1"/>
        <v>914.96365075539791</v>
      </c>
    </row>
    <row r="42" spans="2:10" x14ac:dyDescent="0.3">
      <c r="B42" s="15">
        <f t="shared" ref="B42:B56" si="6">1+B41</f>
        <v>36</v>
      </c>
      <c r="C42" s="6"/>
      <c r="D42" s="18">
        <v>1.0014057496488573</v>
      </c>
      <c r="E42" s="19">
        <f t="shared" si="0"/>
        <v>70.098402475420016</v>
      </c>
      <c r="G42" s="15">
        <f t="shared" si="5"/>
        <v>36</v>
      </c>
      <c r="H42" s="6"/>
      <c r="I42" s="18">
        <v>0.93751554602798604</v>
      </c>
      <c r="J42" s="19">
        <f t="shared" si="1"/>
        <v>937.51554602798603</v>
      </c>
    </row>
    <row r="43" spans="2:10" x14ac:dyDescent="0.3">
      <c r="B43" s="15">
        <f t="shared" si="6"/>
        <v>37</v>
      </c>
      <c r="C43" s="6"/>
      <c r="D43" s="18">
        <v>1.0420575710059978</v>
      </c>
      <c r="E43" s="19">
        <f t="shared" si="0"/>
        <v>72.944029970419848</v>
      </c>
      <c r="G43" s="15">
        <f t="shared" si="5"/>
        <v>37</v>
      </c>
      <c r="H43" s="6"/>
      <c r="I43" s="18">
        <v>1.0096760955143125</v>
      </c>
      <c r="J43" s="19">
        <f t="shared" si="1"/>
        <v>1009.6760955143125</v>
      </c>
    </row>
    <row r="44" spans="2:10" x14ac:dyDescent="0.3">
      <c r="B44" s="15">
        <f t="shared" si="6"/>
        <v>38</v>
      </c>
      <c r="C44" s="6"/>
      <c r="D44" s="18">
        <v>1.0694116586408036</v>
      </c>
      <c r="E44" s="19">
        <f t="shared" si="0"/>
        <v>74.858816104856245</v>
      </c>
      <c r="G44" s="15">
        <f t="shared" si="5"/>
        <v>38</v>
      </c>
      <c r="H44" s="6"/>
      <c r="I44" s="18">
        <v>0.98041579296157777</v>
      </c>
      <c r="J44" s="19">
        <f t="shared" si="1"/>
        <v>980.41579296157772</v>
      </c>
    </row>
    <row r="45" spans="2:10" x14ac:dyDescent="0.3">
      <c r="B45" s="15">
        <f t="shared" si="6"/>
        <v>39</v>
      </c>
      <c r="C45" s="6"/>
      <c r="D45" s="18">
        <v>0.84234716263185994</v>
      </c>
      <c r="E45" s="19">
        <f t="shared" si="0"/>
        <v>58.964301384230197</v>
      </c>
      <c r="G45" s="15">
        <f t="shared" si="5"/>
        <v>39</v>
      </c>
      <c r="H45" s="6"/>
      <c r="I45" s="18">
        <v>1.03040811124953</v>
      </c>
      <c r="J45" s="19">
        <f t="shared" si="1"/>
        <v>1030.4081112495301</v>
      </c>
    </row>
    <row r="46" spans="2:10" x14ac:dyDescent="0.3">
      <c r="B46" s="15">
        <f t="shared" si="6"/>
        <v>40</v>
      </c>
      <c r="C46" s="6"/>
      <c r="D46" s="18">
        <v>1.0776015846205413</v>
      </c>
      <c r="E46" s="19">
        <f t="shared" si="0"/>
        <v>75.432110923437889</v>
      </c>
      <c r="G46" s="15">
        <f t="shared" ref="G46:G56" si="7">1+G45</f>
        <v>40</v>
      </c>
      <c r="H46" s="6"/>
      <c r="I46" s="18">
        <v>1.0411136939040193</v>
      </c>
      <c r="J46" s="19">
        <f t="shared" si="1"/>
        <v>1041.1136939040193</v>
      </c>
    </row>
    <row r="47" spans="2:10" x14ac:dyDescent="0.3">
      <c r="B47" s="15">
        <f t="shared" si="6"/>
        <v>41</v>
      </c>
      <c r="C47" s="6"/>
      <c r="D47" s="18">
        <v>1.1089888238573786</v>
      </c>
      <c r="E47" s="19">
        <f t="shared" si="0"/>
        <v>77.629217670016502</v>
      </c>
      <c r="G47" s="15">
        <f t="shared" si="7"/>
        <v>41</v>
      </c>
      <c r="H47" s="6"/>
      <c r="I47" s="18">
        <v>1.0613104562117204</v>
      </c>
      <c r="J47" s="19">
        <f t="shared" si="1"/>
        <v>1061.3104562117203</v>
      </c>
    </row>
    <row r="48" spans="2:10" x14ac:dyDescent="0.3">
      <c r="B48" s="15">
        <f t="shared" si="6"/>
        <v>42</v>
      </c>
      <c r="C48" s="6"/>
      <c r="D48" s="18">
        <v>0.84703026566747985</v>
      </c>
      <c r="E48" s="19">
        <f t="shared" si="0"/>
        <v>59.29211859672359</v>
      </c>
      <c r="G48" s="15">
        <f t="shared" si="7"/>
        <v>42</v>
      </c>
      <c r="H48" s="6"/>
      <c r="I48" s="18">
        <v>1.0824261315532184</v>
      </c>
      <c r="J48" s="19">
        <f t="shared" si="1"/>
        <v>1082.4261315532185</v>
      </c>
    </row>
    <row r="49" spans="2:10" x14ac:dyDescent="0.3">
      <c r="B49" s="15">
        <f t="shared" si="6"/>
        <v>43</v>
      </c>
      <c r="C49" s="6"/>
      <c r="D49" s="18">
        <v>0.82711902664495274</v>
      </c>
      <c r="E49" s="19">
        <f t="shared" si="0"/>
        <v>57.898331865146694</v>
      </c>
      <c r="G49" s="15">
        <f t="shared" si="7"/>
        <v>43</v>
      </c>
      <c r="H49" s="6"/>
      <c r="I49" s="18">
        <v>0.93162705232194876</v>
      </c>
      <c r="J49" s="19">
        <f t="shared" si="1"/>
        <v>931.62705232194878</v>
      </c>
    </row>
    <row r="50" spans="2:10" x14ac:dyDescent="0.3">
      <c r="B50" s="15">
        <f t="shared" si="6"/>
        <v>44</v>
      </c>
      <c r="C50" s="6"/>
      <c r="D50" s="18">
        <v>1.0764752656410121</v>
      </c>
      <c r="E50" s="19">
        <f t="shared" si="0"/>
        <v>75.353268594870855</v>
      </c>
      <c r="G50" s="15">
        <f t="shared" si="7"/>
        <v>44</v>
      </c>
      <c r="H50" s="6"/>
      <c r="I50" s="18">
        <v>1.1820265038052495</v>
      </c>
      <c r="J50" s="19">
        <f t="shared" si="1"/>
        <v>1182.0265038052496</v>
      </c>
    </row>
    <row r="51" spans="2:10" x14ac:dyDescent="0.3">
      <c r="B51" s="15">
        <f t="shared" si="6"/>
        <v>45</v>
      </c>
      <c r="C51" s="6"/>
      <c r="D51" s="18">
        <v>1.0043755221404012</v>
      </c>
      <c r="E51" s="19">
        <f t="shared" si="0"/>
        <v>70.306286549828087</v>
      </c>
      <c r="G51" s="15">
        <f t="shared" si="7"/>
        <v>45</v>
      </c>
      <c r="H51" s="6"/>
      <c r="I51" s="18">
        <v>1.0957472107375548</v>
      </c>
      <c r="J51" s="19">
        <f t="shared" si="1"/>
        <v>1095.7472107375547</v>
      </c>
    </row>
    <row r="52" spans="2:10" x14ac:dyDescent="0.3">
      <c r="B52" s="15">
        <f t="shared" si="6"/>
        <v>46</v>
      </c>
      <c r="C52" s="6"/>
      <c r="D52" s="18">
        <v>1.0176732403840774</v>
      </c>
      <c r="E52" s="19">
        <f t="shared" si="0"/>
        <v>71.237126826885415</v>
      </c>
      <c r="G52" s="15">
        <f t="shared" si="7"/>
        <v>46</v>
      </c>
      <c r="H52" s="6"/>
      <c r="I52" s="18">
        <v>1.0137264744841938</v>
      </c>
      <c r="J52" s="19">
        <f t="shared" si="1"/>
        <v>1013.7264744841939</v>
      </c>
    </row>
    <row r="53" spans="2:10" x14ac:dyDescent="0.3">
      <c r="B53" s="15">
        <f t="shared" si="6"/>
        <v>47</v>
      </c>
      <c r="C53" s="6"/>
      <c r="D53" s="18">
        <v>0.93144649330221452</v>
      </c>
      <c r="E53" s="19">
        <f t="shared" si="0"/>
        <v>65.201254531155016</v>
      </c>
      <c r="G53" s="15">
        <f t="shared" si="7"/>
        <v>47</v>
      </c>
      <c r="H53" s="6"/>
      <c r="I53" s="18">
        <v>1.1016636744513837</v>
      </c>
      <c r="J53" s="19">
        <f t="shared" si="1"/>
        <v>1101.6636744513837</v>
      </c>
    </row>
    <row r="54" spans="2:10" x14ac:dyDescent="0.3">
      <c r="B54" s="15">
        <f t="shared" si="6"/>
        <v>48</v>
      </c>
      <c r="C54" s="6"/>
      <c r="D54" s="18">
        <v>1.1254634213083798</v>
      </c>
      <c r="E54" s="19">
        <f t="shared" si="0"/>
        <v>78.782439491586587</v>
      </c>
      <c r="G54" s="15">
        <f t="shared" si="7"/>
        <v>48</v>
      </c>
      <c r="H54" s="6"/>
      <c r="I54" s="18">
        <v>1.117474922735828</v>
      </c>
      <c r="J54" s="19">
        <f t="shared" si="1"/>
        <v>1117.4749227358282</v>
      </c>
    </row>
    <row r="55" spans="2:10" x14ac:dyDescent="0.3">
      <c r="B55" s="15">
        <f t="shared" si="6"/>
        <v>49</v>
      </c>
      <c r="C55" s="6"/>
      <c r="D55" s="18">
        <v>0.81116361978748797</v>
      </c>
      <c r="E55" s="19">
        <f t="shared" si="0"/>
        <v>56.781453385124159</v>
      </c>
      <c r="G55" s="15">
        <f t="shared" si="7"/>
        <v>49</v>
      </c>
      <c r="H55" s="6"/>
      <c r="I55" s="18">
        <v>0.97450363021844999</v>
      </c>
      <c r="J55" s="19">
        <f t="shared" si="1"/>
        <v>974.50363021844998</v>
      </c>
    </row>
    <row r="56" spans="2:10" ht="15" thickBot="1" x14ac:dyDescent="0.35">
      <c r="B56" s="16">
        <f t="shared" si="6"/>
        <v>50</v>
      </c>
      <c r="C56" s="17"/>
      <c r="D56" s="20">
        <v>1.0123596167133366</v>
      </c>
      <c r="E56" s="21">
        <f t="shared" si="0"/>
        <v>70.86517316993357</v>
      </c>
      <c r="G56" s="16">
        <f t="shared" si="7"/>
        <v>50</v>
      </c>
      <c r="H56" s="17"/>
      <c r="I56" s="20">
        <v>1.1000409471693759</v>
      </c>
      <c r="J56" s="21">
        <f t="shared" si="1"/>
        <v>1100.0409471693758</v>
      </c>
    </row>
    <row r="57" spans="2:10" x14ac:dyDescent="0.3">
      <c r="C57" s="1"/>
    </row>
    <row r="58" spans="2:10" x14ac:dyDescent="0.3">
      <c r="C58" s="1"/>
    </row>
    <row r="59" spans="2:10" x14ac:dyDescent="0.3">
      <c r="C59" s="1"/>
    </row>
    <row r="60" spans="2:10" x14ac:dyDescent="0.3">
      <c r="C60" s="1"/>
    </row>
    <row r="61" spans="2:10" x14ac:dyDescent="0.3">
      <c r="C61" s="1"/>
    </row>
  </sheetData>
  <mergeCells count="108"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G53:H53"/>
    <mergeCell ref="G54:H54"/>
    <mergeCell ref="G55:H55"/>
    <mergeCell ref="G56:H56"/>
    <mergeCell ref="G47:H47"/>
    <mergeCell ref="G48:H48"/>
    <mergeCell ref="G49:H49"/>
    <mergeCell ref="G50:H50"/>
    <mergeCell ref="G51:H51"/>
    <mergeCell ref="G52:H52"/>
    <mergeCell ref="G41:H41"/>
    <mergeCell ref="G42:H42"/>
    <mergeCell ref="G43:H43"/>
    <mergeCell ref="G44:H44"/>
    <mergeCell ref="G45:H45"/>
    <mergeCell ref="G46:H46"/>
    <mergeCell ref="G35:H35"/>
    <mergeCell ref="G36:H36"/>
    <mergeCell ref="G37:H37"/>
    <mergeCell ref="G38:H38"/>
    <mergeCell ref="G39:H39"/>
    <mergeCell ref="G40:H40"/>
    <mergeCell ref="G29:H29"/>
    <mergeCell ref="G30:H30"/>
    <mergeCell ref="G31:H31"/>
    <mergeCell ref="G32:H32"/>
    <mergeCell ref="G33:H33"/>
    <mergeCell ref="G34:H34"/>
    <mergeCell ref="G23:H23"/>
    <mergeCell ref="G24:H24"/>
    <mergeCell ref="G25:H25"/>
    <mergeCell ref="G26:H26"/>
    <mergeCell ref="G27:H27"/>
    <mergeCell ref="G28:H28"/>
    <mergeCell ref="G17:H17"/>
    <mergeCell ref="G18:H18"/>
    <mergeCell ref="G19:H19"/>
    <mergeCell ref="G20:H20"/>
    <mergeCell ref="G21:H21"/>
    <mergeCell ref="G22:H22"/>
    <mergeCell ref="G14:H14"/>
    <mergeCell ref="G15:H15"/>
    <mergeCell ref="G16:H16"/>
    <mergeCell ref="G11:H11"/>
    <mergeCell ref="G12:H12"/>
    <mergeCell ref="G13:H13"/>
    <mergeCell ref="G8:H8"/>
    <mergeCell ref="G9:H9"/>
    <mergeCell ref="G10:H10"/>
    <mergeCell ref="B15:C15"/>
    <mergeCell ref="B16:C16"/>
    <mergeCell ref="M3:N3"/>
    <mergeCell ref="G3:J3"/>
    <mergeCell ref="G5:J5"/>
    <mergeCell ref="G6:H6"/>
    <mergeCell ref="G7:H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:C1"/>
    <mergeCell ref="B3:E3"/>
    <mergeCell ref="B5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 Hagström</dc:creator>
  <cp:lastModifiedBy>China Hagström</cp:lastModifiedBy>
  <dcterms:created xsi:type="dcterms:W3CDTF">2024-03-27T19:36:39Z</dcterms:created>
  <dcterms:modified xsi:type="dcterms:W3CDTF">2024-03-28T20:54:24Z</dcterms:modified>
</cp:coreProperties>
</file>